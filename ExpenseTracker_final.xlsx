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ock\Documents\"/>
    </mc:Choice>
  </mc:AlternateContent>
  <xr:revisionPtr revIDLastSave="0" documentId="13_ncr:1_{D4EB2345-2FDC-4B0C-85ED-583E899123D6}" xr6:coauthVersionLast="47" xr6:coauthVersionMax="47" xr10:uidLastSave="{00000000-0000-0000-0000-000000000000}"/>
  <bookViews>
    <workbookView xWindow="-120" yWindow="-120" windowWidth="19440" windowHeight="15000" xr2:uid="{E4825179-B358-4A90-B686-95D01435B4FB}"/>
  </bookViews>
  <sheets>
    <sheet name="Guide" sheetId="1" r:id="rId1"/>
    <sheet name="Settings" sheetId="2" r:id="rId2"/>
    <sheet name="Expenses" sheetId="3" r:id="rId3"/>
    <sheet name="Summary" sheetId="4" r:id="rId4"/>
  </sheets>
  <definedNames>
    <definedName name="CategoryList">Settings!$A$2:$A$7</definedName>
    <definedName name="_xlnm.Print_Area" localSheetId="3">Summary!$A$1:$J$32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A7" i="4"/>
  <c r="B7" i="4" s="1"/>
  <c r="A8" i="4"/>
  <c r="C8" i="4" s="1"/>
  <c r="A9" i="4"/>
  <c r="A10" i="4"/>
  <c r="B10" i="4" s="1"/>
  <c r="A11" i="4"/>
  <c r="B11" i="4" s="1"/>
  <c r="A6" i="4"/>
  <c r="C7" i="4" l="1"/>
  <c r="D7" i="4" s="1"/>
  <c r="C6" i="4"/>
  <c r="C9" i="4"/>
  <c r="E9" i="4" s="1"/>
  <c r="B9" i="4"/>
  <c r="C11" i="4"/>
  <c r="E11" i="4" s="1"/>
  <c r="B12" i="4"/>
  <c r="B8" i="4"/>
  <c r="D8" i="4" s="1"/>
  <c r="C10" i="4"/>
  <c r="E10" i="4" s="1"/>
  <c r="E7" i="4" l="1"/>
  <c r="F8" i="4"/>
  <c r="D10" i="4"/>
  <c r="E6" i="4"/>
  <c r="D9" i="4"/>
  <c r="E8" i="4"/>
  <c r="D11" i="4"/>
  <c r="F6" i="4"/>
  <c r="D6" i="4"/>
  <c r="F9" i="4"/>
  <c r="F7" i="4"/>
  <c r="F10" i="4"/>
  <c r="F11" i="4"/>
  <c r="C12" i="4"/>
  <c r="E12" i="4" s="1"/>
  <c r="D12" i="4" l="1"/>
  <c r="F12" i="4"/>
</calcChain>
</file>

<file path=xl/sharedStrings.xml><?xml version="1.0" encoding="utf-8"?>
<sst xmlns="http://schemas.openxmlformats.org/spreadsheetml/2006/main" count="103" uniqueCount="61">
  <si>
    <t>Category</t>
  </si>
  <si>
    <t>Monthly Budget</t>
  </si>
  <si>
    <t>Food</t>
  </si>
  <si>
    <t>Transport</t>
  </si>
  <si>
    <t>Study materials</t>
  </si>
  <si>
    <t>Phone and data</t>
  </si>
  <si>
    <t>Entertainment</t>
  </si>
  <si>
    <t>Other</t>
  </si>
  <si>
    <t>Date</t>
  </si>
  <si>
    <t>Description</t>
  </si>
  <si>
    <t>Amount</t>
  </si>
  <si>
    <t>Month</t>
  </si>
  <si>
    <t>Groceries</t>
  </si>
  <si>
    <t>Breakfast and lunch</t>
  </si>
  <si>
    <t>Bus to town</t>
  </si>
  <si>
    <t>Canteen meals</t>
  </si>
  <si>
    <t>Notebooks</t>
  </si>
  <si>
    <t>Data package</t>
  </si>
  <si>
    <t>Cinema</t>
  </si>
  <si>
    <t>Dinner with friends</t>
  </si>
  <si>
    <t>Three-wheeler</t>
  </si>
  <si>
    <t>Printing assignment</t>
  </si>
  <si>
    <t>Bus</t>
  </si>
  <si>
    <t>Haircut</t>
  </si>
  <si>
    <t>Fruits</t>
  </si>
  <si>
    <t>Bus home</t>
  </si>
  <si>
    <t>Meals</t>
  </si>
  <si>
    <t>Games top-up</t>
  </si>
  <si>
    <t>Pens and highlighters</t>
  </si>
  <si>
    <t>Mobile reload</t>
  </si>
  <si>
    <t>Laundry</t>
  </si>
  <si>
    <t>Snacks with friends</t>
  </si>
  <si>
    <t>Takeaway dinner</t>
  </si>
  <si>
    <t>Photocopies</t>
  </si>
  <si>
    <t>Monthly Expense Summary</t>
  </si>
  <si>
    <t>Select month:</t>
  </si>
  <si>
    <t>2026-10</t>
  </si>
  <si>
    <t>Budget</t>
  </si>
  <si>
    <t>Spent</t>
  </si>
  <si>
    <t>Remaining</t>
  </si>
  <si>
    <t>Status</t>
  </si>
  <si>
    <t>% Used</t>
  </si>
  <si>
    <t>Total</t>
  </si>
  <si>
    <t>Blue text = input values; black = formulas; yellow = month selector.</t>
  </si>
  <si>
    <t>Cell colours</t>
  </si>
  <si>
    <t>Type dates as yyyy-mm-dd (e.g. 2026-10-01). Future dates are rejected.</t>
  </si>
  <si>
    <t>Dates</t>
  </si>
  <si>
    <t>The grey Month column on Expenses and the formula cells on Summary.</t>
  </si>
  <si>
    <t>Do not edit</t>
  </si>
  <si>
    <t>Green = OK, Amber = Near limit (80% or more used), Red = Over budget.</t>
  </si>
  <si>
    <t>Colour meaning</t>
  </si>
  <si>
    <t>Edit the blue cells on Settings (Settings is protected except budget cells; unprotect via Review &gt; Unprotect Sheet to add categories). If you add a category, extend the CategoryList name and the Summary rows.</t>
  </si>
  <si>
    <t>To change budgets or categories</t>
  </si>
  <si>
    <t>Go to Summary and choose the month in the yellow cell (B2).</t>
  </si>
  <si>
    <t>To see results</t>
  </si>
  <si>
    <t>Go to Expenses and type in the first empty row under the table. Choose the category from the dropdown. The Month fills in automatically.</t>
  </si>
  <si>
    <t>To add an expense</t>
  </si>
  <si>
    <t>This workbook records daily expenses and compares them with monthly budgets.</t>
  </si>
  <si>
    <t>Purpose</t>
  </si>
  <si>
    <t>Monthly Expense Tracker for Boarding Students</t>
  </si>
  <si>
    <r>
      <t>Project:</t>
    </r>
    <r>
      <rPr>
        <sz val="11"/>
        <color theme="1"/>
        <rFont val="Calibri"/>
        <family val="2"/>
        <scheme val="minor"/>
      </rPr>
      <t xml:space="preserve"> HNDIT1052 ICT Project (Individual) | </t>
    </r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U.H.G.A.P. Wickramanayake | </t>
    </r>
    <r>
      <rPr>
        <b/>
        <sz val="11"/>
        <color theme="1"/>
        <rFont val="Calibri"/>
        <family val="2"/>
        <scheme val="minor"/>
      </rPr>
      <t>Index No:</t>
    </r>
    <r>
      <rPr>
        <sz val="11"/>
        <color theme="1"/>
        <rFont val="Calibri"/>
        <family val="2"/>
        <scheme val="minor"/>
      </rPr>
      <t xml:space="preserve"> ATI/IT/2026/F/12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2026-10-24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</si>
</sst>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;@"/>
    <numFmt numFmtId="165" formatCode="dd\-mmm\-yyyy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b/>
      <sz val="16"/>
      <name val="Segoe U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6E6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164" fontId="0" fillId="0" borderId="0" xfId="0" applyNumberFormat="1"/>
    <xf numFmtId="165" fontId="3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9" fontId="0" fillId="0" borderId="0" xfId="2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4" borderId="0" xfId="0" applyFont="1" applyFill="1"/>
    <xf numFmtId="49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43" fontId="0" fillId="0" borderId="0" xfId="1" applyFont="1" applyAlignment="1" applyProtection="1">
      <protection locked="0"/>
    </xf>
    <xf numFmtId="166" fontId="0" fillId="0" borderId="0" xfId="1" applyNumberFormat="1" applyFont="1" applyAlignment="1">
      <alignment horizontal="left"/>
    </xf>
    <xf numFmtId="166" fontId="2" fillId="0" borderId="0" xfId="1" applyNumberFormat="1" applyFont="1" applyAlignment="1">
      <alignment horizontal="left"/>
    </xf>
    <xf numFmtId="4" fontId="2" fillId="5" borderId="0" xfId="0" applyNumberFormat="1" applyFont="1" applyFill="1"/>
    <xf numFmtId="0" fontId="0" fillId="5" borderId="0" xfId="0" applyFill="1"/>
    <xf numFmtId="0" fontId="2" fillId="5" borderId="0" xfId="0" applyFont="1" applyFill="1"/>
    <xf numFmtId="0" fontId="1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0" formatCode="General"/>
      <fill>
        <patternFill patternType="solid">
          <fgColor rgb="FFF2F2F2"/>
          <bgColor rgb="FFE7E6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  <numFmt numFmtId="165" formatCode="dd\-mmm\-yyyy"/>
    </dxf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006100"/>
      <color rgb="FFC6EFCE"/>
      <color rgb="FF9C5700"/>
      <color rgb="FFFFEB9C"/>
      <color rgb="FF9C0006"/>
      <color rgb="FFFFC7C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vs Spending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Summary!$A$6:$A$11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Study materials</c:v>
                </c:pt>
                <c:pt idx="3">
                  <c:v>Phone and data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Summary!$B$6:$B$11</c:f>
              <c:numCache>
                <c:formatCode>_(* #,##0_);_(* \(#,##0\);_(* "-"??_);_(@_)</c:formatCode>
                <c:ptCount val="6"/>
                <c:pt idx="0">
                  <c:v>15000</c:v>
                </c:pt>
                <c:pt idx="1">
                  <c:v>5000</c:v>
                </c:pt>
                <c:pt idx="2">
                  <c:v>3000</c:v>
                </c:pt>
                <c:pt idx="3">
                  <c:v>2000</c:v>
                </c:pt>
                <c:pt idx="4">
                  <c:v>2000</c:v>
                </c:pt>
                <c:pt idx="5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1-4279-9626-51421F0CD11E}"/>
            </c:ext>
          </c:extLst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Summary!$A$6:$A$11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Study materials</c:v>
                </c:pt>
                <c:pt idx="3">
                  <c:v>Phone and data</c:v>
                </c:pt>
                <c:pt idx="4">
                  <c:v>Entertainment</c:v>
                </c:pt>
                <c:pt idx="5">
                  <c:v>Other</c:v>
                </c:pt>
              </c:strCache>
            </c:strRef>
          </c:cat>
          <c:val>
            <c:numRef>
              <c:f>Summary!$C$6:$C$11</c:f>
              <c:numCache>
                <c:formatCode>_(* #,##0_);_(* \(#,##0\);_(* "-"??_);_(@_)</c:formatCode>
                <c:ptCount val="6"/>
                <c:pt idx="0">
                  <c:v>12280</c:v>
                </c:pt>
                <c:pt idx="1">
                  <c:v>1560</c:v>
                </c:pt>
                <c:pt idx="2">
                  <c:v>1480</c:v>
                </c:pt>
                <c:pt idx="3">
                  <c:v>1500</c:v>
                </c:pt>
                <c:pt idx="4">
                  <c:v>1750</c:v>
                </c:pt>
                <c:pt idx="5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1-4279-9626-51421F0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764"/>
        <c:axId val="14236511"/>
      </c:barChart>
      <c:catAx>
        <c:axId val="737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36511"/>
        <c:crosses val="autoZero"/>
        <c:auto val="1"/>
        <c:lblAlgn val="ctr"/>
        <c:lblOffset val="100"/>
        <c:noMultiLvlLbl val="0"/>
      </c:catAx>
      <c:valAx>
        <c:axId val="14236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(LKR)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7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14</xdr:row>
      <xdr:rowOff>85725</xdr:rowOff>
    </xdr:from>
    <xdr:to>
      <xdr:col>9</xdr:col>
      <xdr:colOff>545295</xdr:colOff>
      <xdr:row>31</xdr:row>
      <xdr:rowOff>86805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E4533-CB82-4FB2-9421-F64501A10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3A69A-59AA-4A44-969E-BC12C2ECCFF9}" name="tblExp" displayName="tblExp" ref="A1:E32" totalsRowShown="0" headerRowDxfId="9">
  <autoFilter ref="A1:E32" xr:uid="{0153A69A-59AA-4A44-969E-BC12C2ECCFF9}"/>
  <tableColumns count="5">
    <tableColumn id="1" xr3:uid="{7184F61B-C2E4-48F1-B695-ED9E230B6897}" name="Date" dataDxfId="8"/>
    <tableColumn id="2" xr3:uid="{F31635B7-43DC-4520-ADEF-3CD6CFD2B0C0}" name="Category" dataDxfId="7"/>
    <tableColumn id="3" xr3:uid="{D7750133-1172-4D77-9A62-2BFF2FDAA0B4}" name="Description" dataDxfId="6"/>
    <tableColumn id="4" xr3:uid="{A8D748F6-E2D7-49F6-BAF1-56BB8EB3EEFC}" name="Amount" dataDxfId="5"/>
    <tableColumn id="5" xr3:uid="{BF52DD2A-999A-414A-8F46-4371A3E6ECD1}" name="Month" dataDxfId="4">
      <calculatedColumnFormula>TEXT(tblExp[[#This Row],[Date]],"yyyy-mm")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2E63-58A1-4C8B-8DD9-0EBEA220BE04}">
  <dimension ref="A1:J11"/>
  <sheetViews>
    <sheetView tabSelected="1" zoomScale="85" zoomScaleNormal="85" workbookViewId="0">
      <selection activeCell="M22" sqref="M22"/>
    </sheetView>
  </sheetViews>
  <sheetFormatPr defaultRowHeight="15"/>
  <cols>
    <col min="1" max="1" width="42.140625" customWidth="1"/>
    <col min="2" max="2" width="22" customWidth="1"/>
    <col min="3" max="3" width="15.140625" customWidth="1"/>
  </cols>
  <sheetData>
    <row r="1" spans="1:10" ht="25.5">
      <c r="A1" s="12" t="s">
        <v>59</v>
      </c>
    </row>
    <row r="2" spans="1:10">
      <c r="A2" s="22" t="s">
        <v>60</v>
      </c>
      <c r="B2" s="22"/>
      <c r="C2" s="22"/>
      <c r="D2" s="22"/>
      <c r="E2" s="22"/>
      <c r="F2" s="22"/>
      <c r="G2" s="22"/>
      <c r="H2" s="22"/>
      <c r="I2" s="22"/>
      <c r="J2" s="22"/>
    </row>
    <row r="4" spans="1:10">
      <c r="A4" s="11" t="s">
        <v>58</v>
      </c>
      <c r="B4" s="10" t="s">
        <v>57</v>
      </c>
    </row>
    <row r="5" spans="1:10">
      <c r="A5" s="11" t="s">
        <v>56</v>
      </c>
      <c r="B5" s="10" t="s">
        <v>55</v>
      </c>
    </row>
    <row r="6" spans="1:10">
      <c r="A6" s="11" t="s">
        <v>54</v>
      </c>
      <c r="B6" s="10" t="s">
        <v>53</v>
      </c>
    </row>
    <row r="7" spans="1:10">
      <c r="A7" s="11" t="s">
        <v>52</v>
      </c>
      <c r="B7" s="10" t="s">
        <v>51</v>
      </c>
    </row>
    <row r="8" spans="1:10">
      <c r="A8" s="11" t="s">
        <v>50</v>
      </c>
      <c r="B8" s="10" t="s">
        <v>49</v>
      </c>
    </row>
    <row r="9" spans="1:10">
      <c r="A9" s="11" t="s">
        <v>48</v>
      </c>
      <c r="B9" s="10" t="s">
        <v>47</v>
      </c>
    </row>
    <row r="10" spans="1:10">
      <c r="A10" s="11" t="s">
        <v>46</v>
      </c>
      <c r="B10" s="10" t="s">
        <v>45</v>
      </c>
    </row>
    <row r="11" spans="1:10">
      <c r="A11" s="11" t="s">
        <v>44</v>
      </c>
      <c r="B11" s="10" t="s">
        <v>43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2F3F-8CE4-4215-B06A-6491982F6CDC}">
  <dimension ref="A1:B7"/>
  <sheetViews>
    <sheetView zoomScale="160" zoomScaleNormal="160" workbookViewId="0">
      <selection activeCell="B1" sqref="B1:B7"/>
    </sheetView>
  </sheetViews>
  <sheetFormatPr defaultRowHeight="15"/>
  <cols>
    <col min="1" max="1" width="18.42578125" customWidth="1"/>
    <col min="2" max="2" width="18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6">
        <v>15000</v>
      </c>
    </row>
    <row r="3" spans="1:2">
      <c r="A3" t="s">
        <v>3</v>
      </c>
      <c r="B3" s="16">
        <v>5000</v>
      </c>
    </row>
    <row r="4" spans="1:2">
      <c r="A4" t="s">
        <v>4</v>
      </c>
      <c r="B4" s="16">
        <v>3000</v>
      </c>
    </row>
    <row r="5" spans="1:2">
      <c r="A5" t="s">
        <v>5</v>
      </c>
      <c r="B5" s="16">
        <v>2000</v>
      </c>
    </row>
    <row r="6" spans="1:2">
      <c r="A6" t="s">
        <v>6</v>
      </c>
      <c r="B6" s="16">
        <v>2000</v>
      </c>
    </row>
    <row r="7" spans="1:2">
      <c r="A7" t="s">
        <v>7</v>
      </c>
      <c r="B7" s="16">
        <v>3000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D4FE-FB02-46BB-9178-F3594B154083}">
  <dimension ref="A1:F45"/>
  <sheetViews>
    <sheetView zoomScaleNormal="100" workbookViewId="0">
      <pane ySplit="1" topLeftCell="A2" activePane="bottomLeft" state="frozen"/>
      <selection pane="bottomLeft" activeCell="G7" sqref="G7"/>
    </sheetView>
  </sheetViews>
  <sheetFormatPr defaultRowHeight="15"/>
  <cols>
    <col min="1" max="1" width="28.42578125" customWidth="1"/>
    <col min="2" max="2" width="19.140625" customWidth="1"/>
    <col min="3" max="3" width="25.140625" customWidth="1"/>
    <col min="4" max="4" width="16" customWidth="1"/>
    <col min="5" max="5" width="21" customWidth="1"/>
  </cols>
  <sheetData>
    <row r="1" spans="1:6">
      <c r="A1" s="19" t="s">
        <v>8</v>
      </c>
      <c r="B1" s="20" t="s">
        <v>0</v>
      </c>
      <c r="C1" s="21" t="s">
        <v>9</v>
      </c>
      <c r="D1" s="20" t="s">
        <v>10</v>
      </c>
      <c r="E1" s="20" t="s">
        <v>11</v>
      </c>
      <c r="F1" s="20"/>
    </row>
    <row r="2" spans="1:6">
      <c r="A2" s="3">
        <v>46293</v>
      </c>
      <c r="B2" s="4" t="s">
        <v>2</v>
      </c>
      <c r="C2" s="4" t="s">
        <v>12</v>
      </c>
      <c r="D2" s="5">
        <v>1500</v>
      </c>
      <c r="E2" s="6" t="str">
        <f>TEXT(tblExp[[#This Row],[Date]],"yyyy-mm")</f>
        <v>2026-09</v>
      </c>
    </row>
    <row r="3" spans="1:6">
      <c r="A3" s="3">
        <v>46296</v>
      </c>
      <c r="B3" s="4" t="s">
        <v>2</v>
      </c>
      <c r="C3" s="4" t="s">
        <v>13</v>
      </c>
      <c r="D3" s="5">
        <v>650</v>
      </c>
      <c r="E3" s="6" t="str">
        <f>TEXT(tblExp[[#This Row],[Date]],"yyyy-mm")</f>
        <v>2026-10</v>
      </c>
    </row>
    <row r="4" spans="1:6">
      <c r="A4" s="3">
        <v>46296</v>
      </c>
      <c r="B4" s="4" t="s">
        <v>3</v>
      </c>
      <c r="C4" s="4" t="s">
        <v>14</v>
      </c>
      <c r="D4" s="5">
        <v>120</v>
      </c>
      <c r="E4" s="6" t="str">
        <f>TEXT(tblExp[[#This Row],[Date]],"yyyy-mm")</f>
        <v>2026-10</v>
      </c>
    </row>
    <row r="5" spans="1:6">
      <c r="A5" s="3">
        <v>46297</v>
      </c>
      <c r="B5" s="4" t="s">
        <v>2</v>
      </c>
      <c r="C5" s="4" t="s">
        <v>15</v>
      </c>
      <c r="D5" s="5">
        <v>700</v>
      </c>
      <c r="E5" s="6" t="str">
        <f>TEXT(tblExp[[#This Row],[Date]],"yyyy-mm")</f>
        <v>2026-10</v>
      </c>
    </row>
    <row r="6" spans="1:6">
      <c r="A6" s="3">
        <v>46297</v>
      </c>
      <c r="B6" s="4" t="s">
        <v>4</v>
      </c>
      <c r="C6" s="4" t="s">
        <v>16</v>
      </c>
      <c r="D6" s="5">
        <v>450</v>
      </c>
      <c r="E6" s="6" t="str">
        <f>TEXT(tblExp[[#This Row],[Date]],"yyyy-mm")</f>
        <v>2026-10</v>
      </c>
    </row>
    <row r="7" spans="1:6">
      <c r="A7" s="3">
        <v>46298</v>
      </c>
      <c r="B7" s="4" t="s">
        <v>2</v>
      </c>
      <c r="C7" s="4" t="s">
        <v>12</v>
      </c>
      <c r="D7" s="5">
        <v>1850</v>
      </c>
      <c r="E7" s="6" t="str">
        <f>TEXT(tblExp[[#This Row],[Date]],"yyyy-mm")</f>
        <v>2026-10</v>
      </c>
    </row>
    <row r="8" spans="1:6">
      <c r="A8" s="3">
        <v>46298</v>
      </c>
      <c r="B8" s="4" t="s">
        <v>5</v>
      </c>
      <c r="C8" s="4" t="s">
        <v>17</v>
      </c>
      <c r="D8" s="5">
        <v>1000</v>
      </c>
      <c r="E8" s="6" t="str">
        <f>TEXT(tblExp[[#This Row],[Date]],"yyyy-mm")</f>
        <v>2026-10</v>
      </c>
    </row>
    <row r="9" spans="1:6">
      <c r="A9" s="3">
        <v>46299</v>
      </c>
      <c r="B9" s="4" t="s">
        <v>6</v>
      </c>
      <c r="C9" s="4" t="s">
        <v>18</v>
      </c>
      <c r="D9" s="5">
        <v>800</v>
      </c>
      <c r="E9" s="6" t="str">
        <f>TEXT(tblExp[[#This Row],[Date]],"yyyy-mm")</f>
        <v>2026-10</v>
      </c>
    </row>
    <row r="10" spans="1:6">
      <c r="A10" s="3">
        <v>46300</v>
      </c>
      <c r="B10" s="4" t="s">
        <v>2</v>
      </c>
      <c r="C10" s="4" t="s">
        <v>19</v>
      </c>
      <c r="D10" s="5">
        <v>1200</v>
      </c>
      <c r="E10" s="6" t="str">
        <f>TEXT(tblExp[[#This Row],[Date]],"yyyy-mm")</f>
        <v>2026-10</v>
      </c>
    </row>
    <row r="11" spans="1:6">
      <c r="A11" s="3">
        <v>46300</v>
      </c>
      <c r="B11" s="4" t="s">
        <v>3</v>
      </c>
      <c r="C11" s="4" t="s">
        <v>20</v>
      </c>
      <c r="D11" s="5">
        <v>600</v>
      </c>
      <c r="E11" s="6" t="str">
        <f>TEXT(tblExp[[#This Row],[Date]],"yyyy-mm")</f>
        <v>2026-10</v>
      </c>
    </row>
    <row r="12" spans="1:6">
      <c r="A12" s="3">
        <v>46301</v>
      </c>
      <c r="B12" s="4" t="s">
        <v>2</v>
      </c>
      <c r="C12" s="4" t="s">
        <v>15</v>
      </c>
      <c r="D12" s="5">
        <v>700</v>
      </c>
      <c r="E12" s="6" t="str">
        <f>TEXT(tblExp[[#This Row],[Date]],"yyyy-mm")</f>
        <v>2026-10</v>
      </c>
    </row>
    <row r="13" spans="1:6">
      <c r="A13" s="3">
        <v>46302</v>
      </c>
      <c r="B13" s="4" t="s">
        <v>4</v>
      </c>
      <c r="C13" s="4" t="s">
        <v>21</v>
      </c>
      <c r="D13" s="5">
        <v>350</v>
      </c>
      <c r="E13" s="6" t="str">
        <f>TEXT(tblExp[[#This Row],[Date]],"yyyy-mm")</f>
        <v>2026-10</v>
      </c>
    </row>
    <row r="14" spans="1:6">
      <c r="A14" s="3">
        <v>46302</v>
      </c>
      <c r="B14" s="4" t="s">
        <v>3</v>
      </c>
      <c r="C14" s="4" t="s">
        <v>22</v>
      </c>
      <c r="D14" s="5">
        <v>120</v>
      </c>
      <c r="E14" s="6" t="str">
        <f>TEXT(tblExp[[#This Row],[Date]],"yyyy-mm")</f>
        <v>2026-10</v>
      </c>
    </row>
    <row r="15" spans="1:6">
      <c r="A15" s="3">
        <v>46303</v>
      </c>
      <c r="B15" s="4" t="s">
        <v>2</v>
      </c>
      <c r="C15" s="4" t="s">
        <v>15</v>
      </c>
      <c r="D15" s="5">
        <v>650</v>
      </c>
      <c r="E15" s="6" t="str">
        <f>TEXT(tblExp[[#This Row],[Date]],"yyyy-mm")</f>
        <v>2026-10</v>
      </c>
    </row>
    <row r="16" spans="1:6">
      <c r="A16" s="3">
        <v>46303</v>
      </c>
      <c r="B16" s="4" t="s">
        <v>7</v>
      </c>
      <c r="C16" s="4" t="s">
        <v>23</v>
      </c>
      <c r="D16" s="5">
        <v>500</v>
      </c>
      <c r="E16" s="6" t="str">
        <f>TEXT(tblExp[[#This Row],[Date]],"yyyy-mm")</f>
        <v>2026-10</v>
      </c>
    </row>
    <row r="17" spans="1:5">
      <c r="A17" s="3">
        <v>46304</v>
      </c>
      <c r="B17" s="4" t="s">
        <v>2</v>
      </c>
      <c r="C17" s="4" t="s">
        <v>24</v>
      </c>
      <c r="D17" s="5">
        <v>400</v>
      </c>
      <c r="E17" s="6" t="str">
        <f>TEXT(tblExp[[#This Row],[Date]],"yyyy-mm")</f>
        <v>2026-10</v>
      </c>
    </row>
    <row r="18" spans="1:5">
      <c r="A18" s="3">
        <v>46305</v>
      </c>
      <c r="B18" s="4" t="s">
        <v>3</v>
      </c>
      <c r="C18" s="4" t="s">
        <v>25</v>
      </c>
      <c r="D18" s="5">
        <v>480</v>
      </c>
      <c r="E18" s="6" t="str">
        <f>TEXT(tblExp[[#This Row],[Date]],"yyyy-mm")</f>
        <v>2026-10</v>
      </c>
    </row>
    <row r="19" spans="1:5">
      <c r="A19" s="3">
        <v>46305</v>
      </c>
      <c r="B19" s="4" t="s">
        <v>2</v>
      </c>
      <c r="C19" s="4" t="s">
        <v>26</v>
      </c>
      <c r="D19" s="5">
        <v>750</v>
      </c>
      <c r="E19" s="6" t="str">
        <f>TEXT(tblExp[[#This Row],[Date]],"yyyy-mm")</f>
        <v>2026-10</v>
      </c>
    </row>
    <row r="20" spans="1:5">
      <c r="A20" s="3">
        <v>46306</v>
      </c>
      <c r="B20" s="4" t="s">
        <v>6</v>
      </c>
      <c r="C20" s="4" t="s">
        <v>27</v>
      </c>
      <c r="D20" s="5">
        <v>500</v>
      </c>
      <c r="E20" s="6" t="str">
        <f>TEXT(tblExp[[#This Row],[Date]],"yyyy-mm")</f>
        <v>2026-10</v>
      </c>
    </row>
    <row r="21" spans="1:5">
      <c r="A21" s="3">
        <v>46307</v>
      </c>
      <c r="B21" s="4" t="s">
        <v>2</v>
      </c>
      <c r="C21" s="4" t="s">
        <v>12</v>
      </c>
      <c r="D21" s="5">
        <v>2200</v>
      </c>
      <c r="E21" s="6" t="str">
        <f>TEXT(tblExp[[#This Row],[Date]],"yyyy-mm")</f>
        <v>2026-10</v>
      </c>
    </row>
    <row r="22" spans="1:5">
      <c r="A22" s="3">
        <v>46307</v>
      </c>
      <c r="B22" s="4" t="s">
        <v>4</v>
      </c>
      <c r="C22" s="4" t="s">
        <v>28</v>
      </c>
      <c r="D22" s="5">
        <v>380</v>
      </c>
      <c r="E22" s="6" t="str">
        <f>TEXT(tblExp[[#This Row],[Date]],"yyyy-mm")</f>
        <v>2026-10</v>
      </c>
    </row>
    <row r="23" spans="1:5">
      <c r="A23" s="3">
        <v>46308</v>
      </c>
      <c r="B23" s="4" t="s">
        <v>2</v>
      </c>
      <c r="C23" s="4" t="s">
        <v>15</v>
      </c>
      <c r="D23" s="5">
        <v>700</v>
      </c>
      <c r="E23" s="6" t="str">
        <f>TEXT(tblExp[[#This Row],[Date]],"yyyy-mm")</f>
        <v>2026-10</v>
      </c>
    </row>
    <row r="24" spans="1:5">
      <c r="A24" s="3">
        <v>46308</v>
      </c>
      <c r="B24" s="4" t="s">
        <v>3</v>
      </c>
      <c r="C24" s="4" t="s">
        <v>22</v>
      </c>
      <c r="D24" s="5">
        <v>120</v>
      </c>
      <c r="E24" s="6" t="str">
        <f>TEXT(tblExp[[#This Row],[Date]],"yyyy-mm")</f>
        <v>2026-10</v>
      </c>
    </row>
    <row r="25" spans="1:5">
      <c r="A25" s="3">
        <v>46309</v>
      </c>
      <c r="B25" s="4" t="s">
        <v>5</v>
      </c>
      <c r="C25" s="4" t="s">
        <v>29</v>
      </c>
      <c r="D25" s="5">
        <v>500</v>
      </c>
      <c r="E25" s="6" t="str">
        <f>TEXT(tblExp[[#This Row],[Date]],"yyyy-mm")</f>
        <v>2026-10</v>
      </c>
    </row>
    <row r="26" spans="1:5">
      <c r="A26" s="3">
        <v>46309</v>
      </c>
      <c r="B26" s="4" t="s">
        <v>7</v>
      </c>
      <c r="C26" s="4" t="s">
        <v>30</v>
      </c>
      <c r="D26" s="5">
        <v>600</v>
      </c>
      <c r="E26" s="6" t="str">
        <f>TEXT(tblExp[[#This Row],[Date]],"yyyy-mm")</f>
        <v>2026-10</v>
      </c>
    </row>
    <row r="27" spans="1:5">
      <c r="A27" s="3">
        <v>46310</v>
      </c>
      <c r="B27" s="4" t="s">
        <v>2</v>
      </c>
      <c r="C27" s="4" t="s">
        <v>15</v>
      </c>
      <c r="D27" s="5">
        <v>680</v>
      </c>
      <c r="E27" s="6" t="str">
        <f>TEXT(tblExp[[#This Row],[Date]],"yyyy-mm")</f>
        <v>2026-10</v>
      </c>
    </row>
    <row r="28" spans="1:5">
      <c r="A28" s="3">
        <v>46310</v>
      </c>
      <c r="B28" s="4" t="s">
        <v>6</v>
      </c>
      <c r="C28" s="4" t="s">
        <v>31</v>
      </c>
      <c r="D28" s="5">
        <v>450</v>
      </c>
      <c r="E28" s="6" t="str">
        <f>TEXT(tblExp[[#This Row],[Date]],"yyyy-mm")</f>
        <v>2026-10</v>
      </c>
    </row>
    <row r="29" spans="1:5">
      <c r="A29" s="3">
        <v>46311</v>
      </c>
      <c r="B29" s="4" t="s">
        <v>2</v>
      </c>
      <c r="C29" s="4" t="s">
        <v>32</v>
      </c>
      <c r="D29" s="5">
        <v>1100</v>
      </c>
      <c r="E29" s="6" t="str">
        <f>TEXT(tblExp[[#This Row],[Date]],"yyyy-mm")</f>
        <v>2026-10</v>
      </c>
    </row>
    <row r="30" spans="1:5">
      <c r="A30" s="3">
        <v>46311</v>
      </c>
      <c r="B30" s="4" t="s">
        <v>3</v>
      </c>
      <c r="C30" s="4" t="s">
        <v>14</v>
      </c>
      <c r="D30" s="5">
        <v>120</v>
      </c>
      <c r="E30" s="6" t="str">
        <f>TEXT(tblExp[[#This Row],[Date]],"yyyy-mm")</f>
        <v>2026-10</v>
      </c>
    </row>
    <row r="31" spans="1:5">
      <c r="A31" s="3">
        <v>46312</v>
      </c>
      <c r="B31" s="4" t="s">
        <v>4</v>
      </c>
      <c r="C31" s="4" t="s">
        <v>33</v>
      </c>
      <c r="D31" s="5">
        <v>300</v>
      </c>
      <c r="E31" s="6" t="str">
        <f>TEXT(tblExp[[#This Row],[Date]],"yyyy-mm")</f>
        <v>2026-10</v>
      </c>
    </row>
    <row r="32" spans="1:5">
      <c r="A32" s="3">
        <v>46312</v>
      </c>
      <c r="B32" s="4" t="s">
        <v>2</v>
      </c>
      <c r="C32" s="4" t="s">
        <v>15</v>
      </c>
      <c r="D32" s="5">
        <v>700</v>
      </c>
      <c r="E32" s="6" t="str">
        <f>TEXT(tblExp[[#This Row],[Date]],"yyyy-mm")</f>
        <v>2026-10</v>
      </c>
    </row>
    <row r="33" spans="1:5">
      <c r="A33" s="3"/>
      <c r="B33" s="4"/>
      <c r="C33" s="4"/>
      <c r="D33" s="5"/>
      <c r="E33" s="6"/>
    </row>
    <row r="34" spans="1:5">
      <c r="A34" s="3"/>
      <c r="B34" s="4"/>
      <c r="C34" s="4"/>
      <c r="D34" s="5"/>
      <c r="E34" s="6"/>
    </row>
    <row r="45" spans="1:5">
      <c r="E45" s="2"/>
    </row>
  </sheetData>
  <dataValidations count="3">
    <dataValidation type="list" allowBlank="1" showInputMessage="1" showErrorMessage="1" errorTitle="Invalid category" error="Please choose a category from the list." sqref="B2:B1048576">
      <formula1>CategoryList</formula1>
    </dataValidation>
    <dataValidation type="date" operator="lessThanOrEqual" allowBlank="1" showInputMessage="1" showErrorMessage="1" errorTitle="Invalid date" error="The date cannot be in the future." promptTitle="Date" prompt="Enter the date of the expense." sqref="A2:A1048576">
      <formula1>TODAY()</formula1>
    </dataValidation>
    <dataValidation type="decimal" operator="greaterThan" allowBlank="1" showErrorMessage="1" errorTitle="Invalid amount" error="Enter a number greater than 0." sqref="D2:D1048576">
      <formula1>0</formula1>
    </dataValidation>
  </dataValidations>
  <pageMargins left="0.7" right="0.7" top="0.75" bottom="0.75" header="0.3" footer="0.3"/>
  <pageSetup paperSize="0" orientation="portrait" horizontalDpi="0" verticalDpi="0" copies="0"/>
  <ignoredErrors>
    <ignoredError sqref="A1 A35:A1048576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EFA7-01CD-4AC7-A7AD-A42B3763C59E}">
  <dimension ref="A1:F12"/>
  <sheetViews>
    <sheetView showGridLines="0" zoomScaleNormal="100" workbookViewId="0">
      <selection activeCell="B2" sqref="B2"/>
    </sheetView>
  </sheetViews>
  <sheetFormatPr defaultRowHeight="15"/>
  <cols>
    <col min="1" max="1" width="39.140625" customWidth="1"/>
    <col min="2" max="2" width="12.85546875" customWidth="1"/>
    <col min="3" max="3" width="15.28515625" customWidth="1"/>
    <col min="4" max="4" width="16.42578125" customWidth="1"/>
    <col min="5" max="5" width="13.140625" customWidth="1"/>
    <col min="6" max="6" width="14.85546875" customWidth="1"/>
  </cols>
  <sheetData>
    <row r="1" spans="1:6" ht="18.75">
      <c r="A1" s="7" t="s">
        <v>34</v>
      </c>
    </row>
    <row r="2" spans="1:6">
      <c r="A2" t="s">
        <v>35</v>
      </c>
      <c r="B2" s="14" t="s">
        <v>36</v>
      </c>
    </row>
    <row r="5" spans="1:6">
      <c r="A5" s="13" t="s">
        <v>0</v>
      </c>
      <c r="B5" s="13" t="s">
        <v>37</v>
      </c>
      <c r="C5" s="13" t="s">
        <v>38</v>
      </c>
      <c r="D5" s="13" t="s">
        <v>39</v>
      </c>
      <c r="E5" s="13" t="s">
        <v>40</v>
      </c>
      <c r="F5" s="13" t="s">
        <v>41</v>
      </c>
    </row>
    <row r="6" spans="1:6">
      <c r="A6" t="str">
        <f>Settings!A2</f>
        <v>Food</v>
      </c>
      <c r="B6" s="17">
        <f>_xlfn.XLOOKUP(A6,Settings!$A$2:$A$7,Settings!$B$2:$B$7)</f>
        <v>15000</v>
      </c>
      <c r="C6" s="17">
        <f>SUMIFS(tblExp[Amount], tblExp[Category], $A6, tblExp[Month], $B$2)</f>
        <v>12280</v>
      </c>
      <c r="D6" s="17">
        <f>B6-C6</f>
        <v>2720</v>
      </c>
      <c r="E6" s="8" t="str">
        <f t="shared" ref="E6:E12" si="0">IF(C6&gt;B6, "Over budget", IF(C6&gt;=0.8*B6, "Near limit", "OK"))</f>
        <v>Near limit</v>
      </c>
      <c r="F6" s="9">
        <f>IF(B6=0,0,C6/B6)</f>
        <v>0.81866666666666665</v>
      </c>
    </row>
    <row r="7" spans="1:6">
      <c r="A7" t="str">
        <f>Settings!A3</f>
        <v>Transport</v>
      </c>
      <c r="B7" s="17">
        <f>_xlfn.XLOOKUP(A7,Settings!$A$2:$A$7,Settings!$B$2:$B$7)</f>
        <v>5000</v>
      </c>
      <c r="C7" s="17">
        <f>SUMIFS(tblExp[Amount], tblExp[Category], $A7, tblExp[Month], $B$2)</f>
        <v>1560</v>
      </c>
      <c r="D7" s="17">
        <f t="shared" ref="D7:D11" si="1">B7-C7</f>
        <v>3440</v>
      </c>
      <c r="E7" s="8" t="str">
        <f t="shared" si="0"/>
        <v>OK</v>
      </c>
      <c r="F7" s="9">
        <f t="shared" ref="F7:F12" si="2">IF(B7=0,0,C7/B7)</f>
        <v>0.312</v>
      </c>
    </row>
    <row r="8" spans="1:6">
      <c r="A8" t="str">
        <f>Settings!A4</f>
        <v>Study materials</v>
      </c>
      <c r="B8" s="17">
        <f>_xlfn.XLOOKUP(A8,Settings!$A$2:$A$7,Settings!$B$2:$B$7)</f>
        <v>3000</v>
      </c>
      <c r="C8" s="17">
        <f>SUMIFS(tblExp[Amount], tblExp[Category], $A8, tblExp[Month], $B$2)</f>
        <v>1480</v>
      </c>
      <c r="D8" s="17">
        <f t="shared" si="1"/>
        <v>1520</v>
      </c>
      <c r="E8" s="8" t="str">
        <f t="shared" si="0"/>
        <v>OK</v>
      </c>
      <c r="F8" s="9">
        <f t="shared" si="2"/>
        <v>0.49333333333333335</v>
      </c>
    </row>
    <row r="9" spans="1:6">
      <c r="A9" t="str">
        <f>Settings!A5</f>
        <v>Phone and data</v>
      </c>
      <c r="B9" s="17">
        <f>_xlfn.XLOOKUP(A9,Settings!$A$2:$A$7,Settings!$B$2:$B$7)</f>
        <v>2000</v>
      </c>
      <c r="C9" s="17">
        <f>SUMIFS(tblExp[Amount], tblExp[Category], $A9, tblExp[Month], $B$2)</f>
        <v>1500</v>
      </c>
      <c r="D9" s="17">
        <f t="shared" si="1"/>
        <v>500</v>
      </c>
      <c r="E9" s="8" t="str">
        <f t="shared" si="0"/>
        <v>OK</v>
      </c>
      <c r="F9" s="9">
        <f t="shared" si="2"/>
        <v>0.75</v>
      </c>
    </row>
    <row r="10" spans="1:6">
      <c r="A10" t="str">
        <f>Settings!A6</f>
        <v>Entertainment</v>
      </c>
      <c r="B10" s="17">
        <f>_xlfn.XLOOKUP(A10,Settings!$A$2:$A$7,Settings!$B$2:$B$7)</f>
        <v>2000</v>
      </c>
      <c r="C10" s="17">
        <f>SUMIFS(tblExp[Amount], tblExp[Category], $A10, tblExp[Month], $B$2)</f>
        <v>1750</v>
      </c>
      <c r="D10" s="17">
        <f t="shared" si="1"/>
        <v>250</v>
      </c>
      <c r="E10" s="8" t="str">
        <f t="shared" si="0"/>
        <v>Near limit</v>
      </c>
      <c r="F10" s="9">
        <f t="shared" si="2"/>
        <v>0.875</v>
      </c>
    </row>
    <row r="11" spans="1:6">
      <c r="A11" t="str">
        <f>Settings!A7</f>
        <v>Other</v>
      </c>
      <c r="B11" s="17">
        <f>_xlfn.XLOOKUP(A11,Settings!$A$2:$A$7,Settings!$B$2:$B$7)</f>
        <v>3000</v>
      </c>
      <c r="C11" s="17">
        <f>SUMIFS(tblExp[Amount], tblExp[Category], $A11, tblExp[Month], $B$2)</f>
        <v>1100</v>
      </c>
      <c r="D11" s="17">
        <f t="shared" si="1"/>
        <v>1900</v>
      </c>
      <c r="E11" s="8" t="str">
        <f t="shared" si="0"/>
        <v>OK</v>
      </c>
      <c r="F11" s="9">
        <f t="shared" si="2"/>
        <v>0.36666666666666664</v>
      </c>
    </row>
    <row r="12" spans="1:6">
      <c r="A12" t="s">
        <v>42</v>
      </c>
      <c r="B12" s="18">
        <f>SUM(B6:B11)</f>
        <v>30000</v>
      </c>
      <c r="C12" s="18">
        <f t="shared" ref="C12:D12" si="3">SUM(C6:C11)</f>
        <v>19670</v>
      </c>
      <c r="D12" s="18">
        <f t="shared" si="3"/>
        <v>10330</v>
      </c>
      <c r="E12" s="8" t="str">
        <f t="shared" si="0"/>
        <v>OK</v>
      </c>
      <c r="F12" s="9">
        <f t="shared" si="2"/>
        <v>0.65566666666666662</v>
      </c>
    </row>
  </sheetData>
  <sheetProtection sheet="1" objects="1" scenarios="1"/>
  <conditionalFormatting sqref="E6:E12">
    <cfRule type="expression" dxfId="3" priority="1" stopIfTrue="1">
      <formula>$E6="OK"</formula>
    </cfRule>
    <cfRule type="expression" dxfId="2" priority="2" stopIfTrue="1">
      <formula>$E6="Near limit"</formula>
    </cfRule>
    <cfRule type="expression" dxfId="1" priority="5" stopIfTrue="1">
      <formula>$E6="Over budget"</formula>
    </cfRule>
  </conditionalFormatting>
  <dataValidations count="1">
    <dataValidation type="list" allowBlank="1" showInputMessage="1" showErrorMessage="1" sqref="B2">
      <formula1>"2026-09,2026-10,2026-11,2026-12"</formula1>
    </dataValidation>
  </dataValidations>
  <pageMargins left="0.7" right="0.7" top="0.75" bottom="0.75" header="0.3" footer="0.3"/>
  <pageSetup paperSize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Guide</vt:lpstr>
      <vt:lpstr>Settings</vt:lpstr>
      <vt:lpstr>Expenses</vt:lpstr>
      <vt:lpstr>Summary</vt:lpstr>
      <vt:lpstr>CategoryList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AshRock</dc:creator>
  <cp:lastModifiedBy>AshRock</cp:lastModifiedBy>
  <dcterms:created xsi:type="dcterms:W3CDTF">2026-10-24T06:24:54Z</dcterms:created>
  <dcterms:modified xsi:type="dcterms:W3CDTF">2026-10-25T12:38:22Z</dcterms:modified>
</cp:coreProperties>
</file>